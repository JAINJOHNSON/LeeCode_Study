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esktop\DSA\"/>
    </mc:Choice>
  </mc:AlternateContent>
  <xr:revisionPtr revIDLastSave="0" documentId="13_ncr:1_{CDF71265-B0AA-4359-A162-29111976C27E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8" i="2" s="1"/>
  <c r="B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<sst xmlns="http://schemas.openxmlformats.org/spreadsheetml/2006/main" count="807" uniqueCount="303">
  <si>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</si>
  <si>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</si>
  <si>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</si>
  <si>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</si>
  <si>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</si>
  <si>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</si>
  <si>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</si>
  <si>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</si>
  <si>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</si>
  <si>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</si>
  <si>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</si>
  <si>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</si>
  <si>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</si>
  <si>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</si>
  <si>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</si>
  <si>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</si>
  <si>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</si>
  <si>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</si>
  <si>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</si>
  <si>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</si>
  <si>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</si>
  <si>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</si>
  <si>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</si>
  <si>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</si>
  <si>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</si>
  <si>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</si>
  <si>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</si>
  <si>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</si>
  <si>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</si>
  <si>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</si>
  <si>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</si>
  <si>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</si>
  <si>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</si>
  <si>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</si>
  <si>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</si>
  <si>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</si>
  <si>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</si>
  <si>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</si>
  <si>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</si>
  <si>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</si>
  <si>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</si>
  <si>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</si>
  <si>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</si>
  <si>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</si>
  <si>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</si>
  <si>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</si>
  <si>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</si>
  <si>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</si>
  <si>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</si>
  <si>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</si>
  <si>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</si>
  <si>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</si>
  <si>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</si>
  <si>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</si>
  <si>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</si>
  <si>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</si>
  <si>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</si>
  <si>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</si>
  <si>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</si>
  <si>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</si>
  <si>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</si>
  <si>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</si>
  <si>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</si>
  <si>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</si>
  <si>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</si>
  <si>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</si>
  <si>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</si>
  <si>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</si>
  <si>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</si>
  <si>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</si>
  <si>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</si>
  <si>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</si>
  <si>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</si>
  <si>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</si>
  <si>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</si>
  <si>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</si>
  <si>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</si>
  <si>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</si>
  <si>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</si>
  <si>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</si>
  <si>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</si>
  <si>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</si>
  <si>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</si>
  <si>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</si>
  <si>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</si>
  <si>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</si>
  <si>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</si>
  <si>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</si>
  <si>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</si>
  <si>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</si>
  <si>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</si>
  <si>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</si>
  <si>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</si>
  <si>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</si>
  <si>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</si>
  <si>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</si>
  <si>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</si>
  <si>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</si>
  <si>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</si>
  <si>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</si>
  <si>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</si>
  <si>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</si>
  <si>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</si>
  <si>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</si>
  <si>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</si>
  <si>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</si>
  <si>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</si>
  <si>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</si>
  <si>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</si>
  <si>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</si>
  <si>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</si>
  <si>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</si>
  <si>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</si>
  <si>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</si>
  <si>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</si>
  <si>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</si>
  <si>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</si>
  <si>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</si>
  <si>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</si>
  <si>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</si>
  <si>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</si>
  <si>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</si>
  <si>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</si>
  <si>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</si>
  <si>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</si>
  <si>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</si>
  <si>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</si>
  <si>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</si>
  <si>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</si>
  <si>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</si>
  <si>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</si>
  <si>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</si>
  <si>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</si>
  <si>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</si>
  <si>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</si>
  <si>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</si>
  <si>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</si>
  <si>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</si>
  <si>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</si>
  <si>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</si>
  <si>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</si>
  <si>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</si>
  <si>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</si>
  <si>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</si>
  <si>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</si>
  <si>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</si>
  <si>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</si>
  <si>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</si>
  <si>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</si>
  <si>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</si>
  <si>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</si>
  <si>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</si>
  <si>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</si>
  <si>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</si>
  <si>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</si>
  <si>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</si>
  <si>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</si>
  <si>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</si>
  <si>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</si>
  <si>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</si>
  <si>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</si>
  <si>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</si>
  <si>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</si>
  <si>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</si>
  <si>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</si>
  <si>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</si>
  <si>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</si>
  <si>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</si>
  <si>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</si>
  <si>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</si>
  <si>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</si>
  <si>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</si>
  <si>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</si>
  <si>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</si>
  <si>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</si>
  <si>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</si>
  <si>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</si>
  <si>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</si>
  <si>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</si>
  <si>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</si>
  <si>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</si>
  <si>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</si>
  <si>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</si>
  <si>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</si>
  <si>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</si>
  <si>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</si>
  <si>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</si>
  <si>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</si>
  <si>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</si>
  <si>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</si>
  <si>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</si>
  <si>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</si>
  <si>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</si>
  <si>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</si>
  <si>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</si>
  <si>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</si>
  <si>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</si>
  <si>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</si>
  <si>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</si>
  <si>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</si>
  <si>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</si>
  <si>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</si>
  <si>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</si>
  <si>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</si>
  <si>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</si>
  <si>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</si>
  <si>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</si>
  <si>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</si>
  <si>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</si>
  <si>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</si>
  <si>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</si>
  <si>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</si>
  <si>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</si>
  <si>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</si>
  <si>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</si>
  <si>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</si>
  <si>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</si>
  <si>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</si>
  <si>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</si>
  <si>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</si>
  <si>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</si>
  <si>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</si>
  <si>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</si>
  <si>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</si>
  <si>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</si>
  <si>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</si>
  <si>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</si>
  <si>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</si>
  <si>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</si>
  <si>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</si>
  <si>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</si>
  <si>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</si>
  <si>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</si>
  <si>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</si>
  <si>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</si>
  <si>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</si>
  <si>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</si>
  <si>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</si>
  <si>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</si>
  <si>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</si>
  <si>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</si>
  <si>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</si>
  <si>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</si>
  <si>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</si>
  <si>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</si>
  <si>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</si>
  <si>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</si>
  <si>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</si>
  <si>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</si>
  <si>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</si>
  <si>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</si>
  <si>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</si>
  <si>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</si>
  <si>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</si>
  <si>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</si>
  <si>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</si>
  <si>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</si>
  <si>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</si>
  <si>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</si>
  <si>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</si>
  <si>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</si>
  <si>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</si>
  <si>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</si>
  <si>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</si>
  <si>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</si>
  <si>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</si>
  <si>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</si>
  <si>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</si>
  <si>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</si>
  <si>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</si>
  <si>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</si>
  <si>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</si>
  <si>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</si>
  <si>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</si>
  <si>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</si>
  <si>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</si>
  <si>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</si>
  <si>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</si>
  <si>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</si>
  <si>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</si>
  <si>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</si>
  <si>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</si>
  <si>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</si>
  <si>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</si>
  <si>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</si>
  <si>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</si>
  <si>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</si>
  <si>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</si>
  <si>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</si>
  <si>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</si>
  <si>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</si>
  <si>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</si>
  <si>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</si>
  <si>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</si>
  <si>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</si>
  <si>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</si>
  <si>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</si>
  <si>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</si>
  <si>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</si>
  <si>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</si>
  <si>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</si>
  <si>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</si>
  <si>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https://github.com/JAINJOHNSON/LeeCode_Study.git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</si>
</sst>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12" fillId="4" borderId="1" xfId="1" applyFill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63" Type="http://schemas.openxmlformats.org/officeDocument/2006/relationships/hyperlink" Target="https://leetcode.com/problems/first-bad-version/" TargetMode="External"/><Relationship Id="rId84" Type="http://schemas.openxmlformats.org/officeDocument/2006/relationships/hyperlink" Target="https://leetcode.com/problems/clone-graph/" TargetMode="External"/><Relationship Id="rId16" Type="http://schemas.openxmlformats.org/officeDocument/2006/relationships/hyperlink" Target="https://leetcode.com/problems/sort-colors/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37" Type="http://schemas.openxmlformats.org/officeDocument/2006/relationships/hyperlink" Target="https://leetcode.com/problems/longest-common-prefix/" TargetMode="External"/><Relationship Id="rId53" Type="http://schemas.openxmlformats.org/officeDocument/2006/relationships/hyperlink" Target="https://leetcode.com/problems/min-stack/" TargetMode="External"/><Relationship Id="rId58" Type="http://schemas.openxmlformats.org/officeDocument/2006/relationships/hyperlink" Target="https://leetcode.com/problems/next-greater-element-i/" TargetMode="External"/><Relationship Id="rId74" Type="http://schemas.openxmlformats.org/officeDocument/2006/relationships/hyperlink" Target="https://leetcode.com/problems/balanced-binary-tree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hyperlink" Target="https://github.com/JAINJOHNSON/LeeCode_Study.git" TargetMode="Externa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vmlDrawing" Target="../drawings/vmlDrawing1.vm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Relationship Id="rId47" Type="http://schemas.openxmlformats.org/officeDocument/2006/relationships/hyperlink" Target="https://leetcode.com/problems/remove-linked-list-elements/" TargetMode="External"/><Relationship Id="rId68" Type="http://schemas.openxmlformats.org/officeDocument/2006/relationships/hyperlink" Target="https://leetcode.com/problems/capacity-to-ship-packages-within-d-days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3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topLeftCell="D1" zoomScaleNormal="100" workbookViewId="0">
      <pane ySplit="1" topLeftCell="A2" activePane="bottomLeft" state="frozen"/>
      <selection pane="bottomLeft" activeCell="H3" sqref="H3"/>
    </sheetView>
  </sheetViews>
  <sheetFormatPr defaultColWidth="8.6328125" defaultRowHeight="14.5" x14ac:dyDescent="0.3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46.08984375" bestFit="1" customWidth="1"/>
  </cols>
  <sheetData>
    <row r="1" spans="1:10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8" x14ac:dyDescent="0.35">
      <c r="A2" s="2">
        <v>1</v>
      </c>
      <c r="B2" s="3" t="s">
        <v>10</v>
      </c>
      <c r="C2" s="3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295</v>
      </c>
      <c r="I2" s="3"/>
      <c r="J2" s="15" t="s">
        <v>302</v>
      </c>
    </row>
    <row r="3" spans="1:10" x14ac:dyDescent="0.35">
      <c r="A3" s="2">
        <v>2</v>
      </c>
      <c r="B3" s="3" t="s">
        <v>10</v>
      </c>
      <c r="C3" s="3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297</v>
      </c>
      <c r="I3" s="3"/>
      <c r="J3" s="7"/>
    </row>
    <row r="4" spans="1:10" x14ac:dyDescent="0.35">
      <c r="A4" s="2">
        <v>3</v>
      </c>
      <c r="B4" s="3" t="s">
        <v>10</v>
      </c>
      <c r="C4" s="3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15</v>
      </c>
      <c r="I4" s="3"/>
      <c r="J4" s="7"/>
    </row>
    <row r="5" spans="1:10" x14ac:dyDescent="0.35">
      <c r="A5" s="2">
        <v>4</v>
      </c>
      <c r="B5" s="3" t="s">
        <v>10</v>
      </c>
      <c r="C5" s="3" t="s">
        <v>20</v>
      </c>
      <c r="D5" s="8" t="s">
        <v>21</v>
      </c>
      <c r="E5" s="5" t="s">
        <v>13</v>
      </c>
      <c r="F5" s="2">
        <v>20</v>
      </c>
      <c r="G5" s="6" t="s">
        <v>22</v>
      </c>
      <c r="H5" s="7" t="s">
        <v>15</v>
      </c>
      <c r="I5" s="3"/>
      <c r="J5" s="7"/>
    </row>
    <row r="6" spans="1:10" x14ac:dyDescent="0.35">
      <c r="A6" s="2">
        <v>5</v>
      </c>
      <c r="B6" s="3" t="s">
        <v>10</v>
      </c>
      <c r="C6" s="3" t="s">
        <v>23</v>
      </c>
      <c r="D6" s="4" t="s">
        <v>12</v>
      </c>
      <c r="E6" s="5" t="s">
        <v>13</v>
      </c>
      <c r="F6" s="2">
        <v>15</v>
      </c>
      <c r="G6" s="6" t="s">
        <v>24</v>
      </c>
      <c r="H6" s="7" t="s">
        <v>15</v>
      </c>
      <c r="I6" s="3"/>
      <c r="J6" s="7"/>
    </row>
    <row r="7" spans="1:10" x14ac:dyDescent="0.35">
      <c r="A7" s="2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>
        <v>10</v>
      </c>
      <c r="G7" s="6" t="s">
        <v>26</v>
      </c>
      <c r="H7" s="7" t="s">
        <v>15</v>
      </c>
      <c r="I7" s="3"/>
      <c r="J7" s="7"/>
    </row>
    <row r="8" spans="1:10" x14ac:dyDescent="0.35">
      <c r="A8" s="2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>
        <v>15</v>
      </c>
      <c r="G8" s="6" t="s">
        <v>28</v>
      </c>
      <c r="H8" s="7" t="s">
        <v>15</v>
      </c>
      <c r="I8" s="3"/>
      <c r="J8" s="7"/>
    </row>
    <row r="9" spans="1:10" x14ac:dyDescent="0.35">
      <c r="A9" s="2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>
        <v>10</v>
      </c>
      <c r="G9" s="6" t="s">
        <v>30</v>
      </c>
      <c r="H9" s="7" t="s">
        <v>15</v>
      </c>
      <c r="I9" s="3"/>
      <c r="J9" s="7"/>
    </row>
    <row r="10" spans="1:10" x14ac:dyDescent="0.35">
      <c r="A10" s="2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>
        <v>15</v>
      </c>
      <c r="G10" s="6" t="s">
        <v>32</v>
      </c>
      <c r="H10" s="7" t="s">
        <v>15</v>
      </c>
      <c r="I10" s="3"/>
      <c r="J10" s="7"/>
    </row>
    <row r="11" spans="1:10" ht="28" x14ac:dyDescent="0.35">
      <c r="A11" s="2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>
        <v>15</v>
      </c>
      <c r="G11" s="6" t="s">
        <v>34</v>
      </c>
      <c r="H11" s="7" t="s">
        <v>15</v>
      </c>
      <c r="I11" s="3"/>
      <c r="J11" s="7"/>
    </row>
    <row r="12" spans="1:10" x14ac:dyDescent="0.35">
      <c r="A12" s="2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>
        <v>15</v>
      </c>
      <c r="G12" s="6" t="s">
        <v>37</v>
      </c>
      <c r="H12" s="7" t="s">
        <v>15</v>
      </c>
      <c r="I12" s="3"/>
      <c r="J12" s="7"/>
    </row>
    <row r="13" spans="1:10" x14ac:dyDescent="0.3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15</v>
      </c>
      <c r="I13" s="3"/>
      <c r="J13" s="7"/>
    </row>
    <row r="14" spans="1:10" ht="28" x14ac:dyDescent="0.3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15</v>
      </c>
      <c r="I14" s="3"/>
      <c r="J14" s="7"/>
    </row>
    <row r="15" spans="1:10" x14ac:dyDescent="0.3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15</v>
      </c>
      <c r="I15" s="3"/>
      <c r="J15" s="7"/>
    </row>
    <row r="16" spans="1:10" ht="28" x14ac:dyDescent="0.3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15</v>
      </c>
      <c r="I16" s="3"/>
      <c r="J16" s="7"/>
    </row>
    <row r="17" spans="1:10" x14ac:dyDescent="0.3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15</v>
      </c>
      <c r="I17" s="3"/>
      <c r="J17" s="7"/>
    </row>
    <row r="18" spans="1:10" ht="28" x14ac:dyDescent="0.3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8" x14ac:dyDescent="0.3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3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x14ac:dyDescent="0.3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x14ac:dyDescent="0.3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x14ac:dyDescent="0.3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x14ac:dyDescent="0.3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x14ac:dyDescent="0.3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8" x14ac:dyDescent="0.3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8" x14ac:dyDescent="0.3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3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8" x14ac:dyDescent="0.3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x14ac:dyDescent="0.3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x14ac:dyDescent="0.3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x14ac:dyDescent="0.3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3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8" x14ac:dyDescent="0.3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3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3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3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8" x14ac:dyDescent="0.3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x14ac:dyDescent="0.3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x14ac:dyDescent="0.3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3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x14ac:dyDescent="0.3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8" x14ac:dyDescent="0.3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3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8" x14ac:dyDescent="0.3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3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3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3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3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x14ac:dyDescent="0.3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x14ac:dyDescent="0.3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8" x14ac:dyDescent="0.3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x14ac:dyDescent="0.3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x14ac:dyDescent="0.3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3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3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x14ac:dyDescent="0.3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x14ac:dyDescent="0.3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3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x14ac:dyDescent="0.3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x14ac:dyDescent="0.3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8" x14ac:dyDescent="0.3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3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3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x14ac:dyDescent="0.3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x14ac:dyDescent="0.3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x14ac:dyDescent="0.3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8" x14ac:dyDescent="0.3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8" x14ac:dyDescent="0.3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3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3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3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3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x14ac:dyDescent="0.3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3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3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3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x14ac:dyDescent="0.3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8" x14ac:dyDescent="0.3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x14ac:dyDescent="0.3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x14ac:dyDescent="0.3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x14ac:dyDescent="0.3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8" x14ac:dyDescent="0.3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8" x14ac:dyDescent="0.3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x14ac:dyDescent="0.3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8" x14ac:dyDescent="0.3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ht="28" x14ac:dyDescent="0.3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x14ac:dyDescent="0.3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x14ac:dyDescent="0.3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x14ac:dyDescent="0.3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x14ac:dyDescent="0.3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8" x14ac:dyDescent="0.3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x14ac:dyDescent="0.3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x14ac:dyDescent="0.3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x14ac:dyDescent="0.3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8" x14ac:dyDescent="0.3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8" x14ac:dyDescent="0.3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x14ac:dyDescent="0.3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x14ac:dyDescent="0.3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8" x14ac:dyDescent="0.3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x14ac:dyDescent="0.3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x14ac:dyDescent="0.3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8" x14ac:dyDescent="0.3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x14ac:dyDescent="0.3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x14ac:dyDescent="0.3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x14ac:dyDescent="0.3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x14ac:dyDescent="0.3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ht="28" x14ac:dyDescent="0.3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8" x14ac:dyDescent="0.3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x14ac:dyDescent="0.3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8" x14ac:dyDescent="0.3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x14ac:dyDescent="0.3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x14ac:dyDescent="0.3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x14ac:dyDescent="0.3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x14ac:dyDescent="0.3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x14ac:dyDescent="0.3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x14ac:dyDescent="0.3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x14ac:dyDescent="0.3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3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x14ac:dyDescent="0.3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x14ac:dyDescent="0.3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8" x14ac:dyDescent="0.3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x14ac:dyDescent="0.3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x14ac:dyDescent="0.3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8" x14ac:dyDescent="0.3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x14ac:dyDescent="0.3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x14ac:dyDescent="0.3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x14ac:dyDescent="0.3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8" x14ac:dyDescent="0.3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8" x14ac:dyDescent="0.3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8" x14ac:dyDescent="0.3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/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  <hyperlink ref="J2" r:id="rId131" xr:uid="{A6131EAB-7B40-46C1-BD8A-2BBB5A14B853}"/>
  </hyperlinks>
  <pageMargins left="0.75" right="0.75" top="1" bottom="1" header="0.511811023622047" footer="0.511811023622047"/>
  <pageSetup paperSize="9" orientation="portrait" horizontalDpi="300" verticalDpi="300"/>
  <legacyDrawing r:id="rId1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328125" defaultRowHeight="14.5" x14ac:dyDescent="0.35"/>
  <cols>
    <col min="1" max="1" width="22" customWidth="1"/>
    <col min="2" max="2" width="14" customWidth="1"/>
    <col min="4" max="4" width="60" customWidth="1"/>
  </cols>
  <sheetData>
    <row r="1" spans="1:4" ht="18" x14ac:dyDescent="0.4">
      <c r="A1" s="16" t="s">
        <v>290</v>
      </c>
      <c r="B1" s="16"/>
      <c r="C1" s="16"/>
      <c r="D1" s="10" t="s">
        <v>291</v>
      </c>
    </row>
    <row r="2" spans="1:4" x14ac:dyDescent="0.35">
      <c r="D2" s="11" t="s">
        <v>292</v>
      </c>
    </row>
    <row r="3" spans="1:4" x14ac:dyDescent="0.3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35">
      <c r="A4" s="10" t="s">
        <v>295</v>
      </c>
      <c r="B4" s="12">
        <f>COUNTIF('130-Day Plan'!H2:H131,"Done")</f>
        <v>1</v>
      </c>
      <c r="D4" s="11" t="s">
        <v>296</v>
      </c>
    </row>
    <row r="5" spans="1:4" x14ac:dyDescent="0.35">
      <c r="A5" s="10" t="s">
        <v>297</v>
      </c>
      <c r="B5" s="12">
        <f>COUNTIF('130-Day Plan'!H2:H131,"In Progress")</f>
        <v>1</v>
      </c>
      <c r="D5" s="13" t="s">
        <v>298</v>
      </c>
    </row>
    <row r="6" spans="1:4" x14ac:dyDescent="0.35">
      <c r="A6" s="10" t="s">
        <v>15</v>
      </c>
      <c r="B6" s="12">
        <f>COUNTIF('130-Day Plan'!H2:H131,"Not Started")</f>
        <v>128</v>
      </c>
    </row>
    <row r="7" spans="1:4" x14ac:dyDescent="0.35">
      <c r="A7" s="10" t="s">
        <v>299</v>
      </c>
      <c r="B7" s="12">
        <f>COUNTIF('130-Day Plan'!H2:H131,"Skipped")</f>
        <v>0</v>
      </c>
    </row>
    <row r="8" spans="1:4" x14ac:dyDescent="0.35">
      <c r="A8" s="10" t="s">
        <v>300</v>
      </c>
      <c r="B8" s="14">
        <f>B4/B3</f>
        <v>7.6923076923076927E-3</v>
      </c>
    </row>
    <row r="11" spans="1:4" x14ac:dyDescent="0.35">
      <c r="A11" s="10" t="s">
        <v>301</v>
      </c>
    </row>
    <row r="12" spans="1:4" x14ac:dyDescent="0.35">
      <c r="A12" s="12" t="s">
        <v>12</v>
      </c>
      <c r="B12" s="12">
        <f>COUNTIF('130-Day Plan'!D2:D131,"Easy")</f>
        <v>44</v>
      </c>
    </row>
    <row r="13" spans="1:4" x14ac:dyDescent="0.35">
      <c r="A13" s="12" t="s">
        <v>21</v>
      </c>
      <c r="B13" s="12">
        <f>COUNTIF('130-Day Plan'!D2:D131,"Medium")</f>
        <v>81</v>
      </c>
    </row>
    <row r="14" spans="1:4" x14ac:dyDescent="0.3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2026-09-13T07:12:35Z</dcterms:created>
  <dcterms:modified xsi:type="dcterms:W3CDTF">2026-09-24T04:09:16Z</dcterms:modified>
  <dc:language>en-US</dc:language>
</cp:coreProperties>
</file>